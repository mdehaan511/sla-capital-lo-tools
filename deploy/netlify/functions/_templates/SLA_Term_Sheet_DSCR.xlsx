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<sst xmlns="http://schemas.openxmlformats.org/spreadsheetml/2006/main" count="61" uniqueCount="61">
  <si>
    <t>Pricing Terms Sheet</t>
  </si>
  <si>
    <t>SLA Capital</t>
  </si>
  <si>
    <t>Chance Luce</t>
  </si>
  <si>
    <t>chance@slacapital.com</t>
  </si>
  <si>
    <t>503-490-1493</t>
  </si>
  <si>
    <t>Property Address</t>
  </si>
  <si>
    <t>Loan Terms</t>
  </si>
  <si>
    <t>[Deal title (deal title)]</t>
  </si>
  <si>
    <t>Loan Amount</t>
  </si>
  <si>
    <t>Interest Rate</t>
  </si>
  <si>
    <t>[Deal Loan Interest % (deal custom)]%</t>
  </si>
  <si>
    <t>Borrower &amp; Guarantor</t>
  </si>
  <si>
    <t>Monthly PI</t>
  </si>
  <si>
    <t>[Person full name (person name)]</t>
  </si>
  <si>
    <t>Property Taxes</t>
  </si>
  <si>
    <t>[Deal Annual Taxes - DSCR (deal custom)]</t>
  </si>
  <si>
    <t>[Organization name (organization name)]</t>
  </si>
  <si>
    <t>Property Insurance</t>
  </si>
  <si>
    <t>[Deal Annual Insurance (deal custom)]</t>
  </si>
  <si>
    <t>Property Details</t>
  </si>
  <si>
    <t>HOA</t>
  </si>
  <si>
    <t>Loan Type</t>
  </si>
  <si>
    <t>DSCR - Cashout</t>
  </si>
  <si>
    <t>Total Payment</t>
  </si>
  <si>
    <t>Loan Term</t>
  </si>
  <si>
    <t>30 Year Fixed</t>
  </si>
  <si>
    <t>Rent</t>
  </si>
  <si>
    <t>[Deal Monthly Rent - DSCR (deal custom)]</t>
  </si>
  <si>
    <t>Interest Only?</t>
  </si>
  <si>
    <t>No</t>
  </si>
  <si>
    <t>DSCR</t>
  </si>
  <si>
    <t>Property Type</t>
  </si>
  <si>
    <t>Single Family</t>
  </si>
  <si>
    <t>Estimated Lender/Loan Fees</t>
  </si>
  <si>
    <t>Prepayment</t>
  </si>
  <si>
    <t>5-4-3-2-1</t>
  </si>
  <si>
    <t>Origination Fee</t>
  </si>
  <si>
    <t>[Deal Loan Points (deal custom)]</t>
  </si>
  <si>
    <t>Credit Score (Estimate)</t>
  </si>
  <si>
    <t>[Person Estimated Credit Score (person custom)]</t>
  </si>
  <si>
    <t>Underwriting Fee</t>
  </si>
  <si>
    <t>Property Value</t>
  </si>
  <si>
    <t>[Deal Market Value - DSCR (deal custom)]</t>
  </si>
  <si>
    <t>Doc Prep Fee</t>
  </si>
  <si>
    <t>Requested Loan Amount</t>
  </si>
  <si>
    <t>[Deal Requested Loan Amount - DSCR (deal custom)]</t>
  </si>
  <si>
    <t>Legal/Doc Fee</t>
  </si>
  <si>
    <t>Existing Loan Amount</t>
  </si>
  <si>
    <t>[Deal Existing Loan Amount (If Refi) (deal custom)]</t>
  </si>
  <si>
    <t>Desktop Analayis</t>
  </si>
  <si>
    <t>Cashout (before fees)</t>
  </si>
  <si>
    <t>Total Estimated Fees:</t>
  </si>
  <si>
    <t>Loan To Value (LTV)</t>
  </si>
  <si>
    <t>Total Financing Costs</t>
  </si>
  <si>
    <t>Estimated Cash to Close</t>
  </si>
  <si>
    <t>*Cashout and Cash to Close estimates do not include title fees or other third party costs.
**For rate and term cash to close is wrapped into loan as long as loan remains at or below 80% LTV</t>
  </si>
  <si>
    <t>We are pleased to issue this NON-BINDING preliminary Letter of Interest concerning your loan request. It is our understanding that you would accept a loan with the above terms. Full consderation of the loan request will commence upon timely receipt of this letter by Borrower. The above terms are subject to underwriting and approval of the property and borrowers creditworthiness.</t>
  </si>
  <si>
    <t>Accepted and Agreed To By:</t>
  </si>
  <si>
    <t>[Short today's date (datetime today_short)]</t>
  </si>
  <si>
    <t>Signature</t>
  </si>
  <si>
    <t>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</si>
</sst>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
    <numFmt numFmtId="166" formatCode="0.000%"/>
  </numFmts>
  <fonts count="4">
    <font>
      <sz val="10.0"/>
      <color rgb="FF000000"/>
      <name val="Arial"/>
      <scheme val="minor"/>
    </font>
    <font>
      <color theme="1"/>
      <name val="Arial"/>
    </font>
    <font>
      <b/>
      <sz val="12.0"/>
      <color theme="1"/>
      <name val="Arial"/>
    </font>
    <font>
      <b/>
      <color theme="1"/>
      <name val="Arial"/>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2">
    <border/>
    <border>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xf>
    <xf borderId="0" fillId="0" fontId="1" numFmtId="0" xfId="0" applyAlignment="1" applyFont="1">
      <alignment horizontal="center" vertical="bottom"/>
    </xf>
    <xf borderId="0" fillId="2" fontId="2" numFmtId="0" xfId="0" applyAlignment="1" applyFill="1" applyFont="1">
      <alignment vertical="bottom"/>
    </xf>
    <xf borderId="0" fillId="0" fontId="3" numFmtId="0" xfId="0" applyAlignment="1" applyFont="1">
      <alignment vertical="bottom"/>
    </xf>
    <xf borderId="0" fillId="0" fontId="1" numFmtId="164" xfId="0" applyAlignment="1" applyFont="1" applyNumberFormat="1">
      <alignment horizontal="right" vertical="bottom"/>
    </xf>
    <xf borderId="0" fillId="0" fontId="3" numFmtId="0" xfId="0" applyAlignment="1" applyFont="1">
      <alignment horizontal="right" readingOrder="0" vertical="bottom"/>
    </xf>
    <xf borderId="0" fillId="0" fontId="3" numFmtId="164" xfId="0" applyAlignment="1" applyFont="1" applyNumberFormat="1">
      <alignment horizontal="right" vertical="bottom"/>
    </xf>
    <xf borderId="0" fillId="0" fontId="3" numFmtId="164" xfId="0" applyAlignment="1" applyFont="1" applyNumberFormat="1">
      <alignment horizontal="right" readingOrder="0" vertical="bottom"/>
    </xf>
    <xf borderId="0" fillId="0" fontId="3" numFmtId="165" xfId="0" applyAlignment="1" applyFont="1" applyNumberFormat="1">
      <alignment horizontal="right" readingOrder="0" vertical="bottom"/>
    </xf>
    <xf borderId="0" fillId="0" fontId="1" numFmtId="2" xfId="0" applyAlignment="1" applyFont="1" applyNumberFormat="1">
      <alignment horizontal="right" vertical="bottom"/>
    </xf>
    <xf borderId="0" fillId="0" fontId="1" numFmtId="0" xfId="0" applyAlignment="1" applyFont="1">
      <alignmen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1" numFmtId="165" xfId="0" applyAlignment="1" applyFont="1" applyNumberFormat="1">
      <alignment horizontal="right" vertical="bottom"/>
    </xf>
    <xf borderId="0" fillId="0" fontId="1" numFmtId="9" xfId="0" applyAlignment="1" applyFont="1" applyNumberFormat="1">
      <alignment vertical="bottom"/>
    </xf>
    <xf borderId="0" fillId="0" fontId="1" numFmtId="10" xfId="0" applyAlignment="1" applyFont="1" applyNumberFormat="1">
      <alignment horizontal="right" vertical="bottom"/>
    </xf>
    <xf borderId="0" fillId="3" fontId="1" numFmtId="0" xfId="0" applyAlignment="1" applyFill="1" applyFont="1">
      <alignment horizontal="right" vertical="bottom"/>
    </xf>
    <xf borderId="0" fillId="0" fontId="1" numFmtId="0" xfId="0" applyAlignment="1" applyFont="1">
      <alignment shrinkToFit="0" vertical="bottom" wrapText="1"/>
    </xf>
    <xf borderId="1" fillId="0" fontId="1" numFmtId="0" xfId="0" applyAlignment="1" applyBorder="1" applyFont="1">
      <alignment vertical="bottom"/>
    </xf>
    <xf borderId="1" fillId="0" fontId="1" numFmtId="0" xfId="0" applyAlignment="1" applyBorder="1" applyFont="1">
      <alignment readingOrder="0" vertical="bottom"/>
    </xf>
    <xf borderId="0" fillId="0" fontId="1" numFmtId="166" xfId="0" applyAlignment="1" applyFont="1" applyNumberFormat="1">
      <alignment vertical="bottom"/>
    </xf>
    <xf borderId="0" fillId="0" fontId="1" numFmtId="2"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76200</xdr:rowOff>
    </xdr:from>
    <xdr:ext cx="1666875" cy="1343025"/>
    <xdr:grpSp>
      <xdr:nvGrpSpPr>
        <xdr:cNvPr id="2" name="Shape 2"/>
        <xdr:cNvGrpSpPr/>
      </xdr:nvGrpSpPr>
      <xdr:grpSpPr>
        <a:xfrm>
          <a:off x="4512563" y="3108488"/>
          <a:ext cx="1666875" cy="1343025"/>
          <a:chOff x="4512563" y="3108488"/>
          <a:chExt cx="1666875" cy="1343025"/>
        </a:xfrm>
      </xdr:grpSpPr>
      <xdr:grpSp>
        <xdr:nvGrpSpPr>
          <xdr:cNvPr id="3" name="Shape 3" title="Drawing"/>
          <xdr:cNvGrpSpPr/>
        </xdr:nvGrpSpPr>
        <xdr:grpSpPr>
          <a:xfrm>
            <a:off x="4512563" y="3108488"/>
            <a:ext cx="1666875" cy="1343025"/>
            <a:chOff x="152400" y="152400"/>
            <a:chExt cx="4467075" cy="3593750"/>
          </a:xfrm>
        </xdr:grpSpPr>
        <xdr:sp>
          <xdr:nvSpPr>
            <xdr:cNvPr id="4" name="Shape 4"/>
            <xdr:cNvSpPr/>
          </xdr:nvSpPr>
          <xdr:spPr>
            <a:xfrm>
              <a:off x="152400" y="152400"/>
              <a:ext cx="4467075" cy="3593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52400" y="152400"/>
              <a:ext cx="4467075" cy="3593750"/>
            </a:xfrm>
            <a:prstGeom prst="rect">
              <a:avLst/>
            </a:prstGeom>
            <a:noFill/>
            <a:ln>
              <a:noFill/>
            </a:ln>
          </xdr:spPr>
        </xdr:pic>
      </xdr:grp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38"/>
    <col customWidth="1" min="2" max="3" width="12.63"/>
    <col customWidth="1" min="4" max="4" width="19.75"/>
    <col customWidth="1" min="5" max="5" width="1.5"/>
    <col customWidth="1" min="6" max="6" width="17.38"/>
  </cols>
  <sheetData>
    <row r="1" ht="15.75" customHeight="1">
      <c r="A1" s="1"/>
      <c r="B1" s="1"/>
      <c r="C1" s="1"/>
      <c r="D1" s="1"/>
      <c r="E1" s="1"/>
      <c r="F1" s="1"/>
      <c r="G1" s="1"/>
      <c r="H1" s="1"/>
      <c r="I1" s="1"/>
    </row>
    <row r="2" ht="15.75" customHeight="1">
      <c r="A2" s="1"/>
      <c r="B2" s="1"/>
      <c r="D2" s="1"/>
      <c r="E2" s="1"/>
      <c r="F2" s="1"/>
      <c r="G2" s="2" t="s">
        <v>0</v>
      </c>
      <c r="I2" s="1"/>
    </row>
    <row r="3" ht="15.75" customHeight="1">
      <c r="A3" s="1"/>
      <c r="D3" s="1"/>
      <c r="E3" s="1"/>
      <c r="F3" s="1"/>
      <c r="I3" s="1"/>
    </row>
    <row r="4" ht="15.75" customHeight="1">
      <c r="A4" s="1"/>
      <c r="D4" s="1"/>
      <c r="E4" s="1"/>
      <c r="F4" s="1"/>
      <c r="G4" s="3" t="s">
        <v>1</v>
      </c>
      <c r="I4" s="1"/>
    </row>
    <row r="5" ht="15.75" customHeight="1">
      <c r="A5" s="1"/>
      <c r="D5" s="1"/>
      <c r="E5" s="1"/>
      <c r="F5" s="1"/>
      <c r="G5" s="3" t="s">
        <v>2</v>
      </c>
      <c r="I5" s="1"/>
    </row>
    <row r="6" ht="15.75" customHeight="1">
      <c r="A6" s="1"/>
      <c r="D6" s="1"/>
      <c r="E6" s="1"/>
      <c r="F6" s="1"/>
      <c r="G6" s="3" t="s">
        <v>3</v>
      </c>
      <c r="I6" s="1"/>
    </row>
    <row r="7" ht="15.75" customHeight="1">
      <c r="A7" s="1"/>
      <c r="D7" s="1"/>
      <c r="E7" s="1"/>
      <c r="F7" s="1"/>
      <c r="G7" s="3" t="s">
        <v>4</v>
      </c>
      <c r="I7" s="1"/>
    </row>
    <row r="8" ht="15.75" customHeight="1">
      <c r="A8" s="1"/>
      <c r="B8" s="1"/>
      <c r="C8" s="1"/>
      <c r="D8" s="1"/>
      <c r="E8" s="1"/>
      <c r="F8" s="1"/>
      <c r="G8" s="1"/>
      <c r="H8" s="1"/>
      <c r="I8" s="1"/>
    </row>
    <row r="9" ht="15.75" customHeight="1">
      <c r="A9" s="1"/>
      <c r="B9" s="4" t="s">
        <v>5</v>
      </c>
      <c r="E9" s="1"/>
      <c r="F9" s="4" t="s">
        <v>6</v>
      </c>
      <c r="I9" s="1"/>
    </row>
    <row r="10" ht="15.75" customHeight="1">
      <c r="A10" s="1"/>
      <c r="B10" s="5" t="s">
        <v>7</v>
      </c>
      <c r="E10" s="1"/>
      <c r="F10" s="1" t="s">
        <v>8</v>
      </c>
      <c r="G10" s="6" t="str">
        <f>D23</f>
        <v>[Deal Requested Loan Amount - DSCR (deal custom)]</v>
      </c>
      <c r="I10" s="1"/>
    </row>
    <row r="11" ht="15.75" customHeight="1">
      <c r="A11" s="1"/>
      <c r="E11" s="1"/>
      <c r="F11" s="1" t="s">
        <v>9</v>
      </c>
      <c r="G11" s="7" t="s">
        <v>10</v>
      </c>
      <c r="I11" s="1"/>
    </row>
    <row r="12" ht="15.75" customHeight="1">
      <c r="A12" s="1"/>
      <c r="B12" s="4" t="s">
        <v>11</v>
      </c>
      <c r="E12" s="1"/>
      <c r="F12" s="1" t="s">
        <v>12</v>
      </c>
      <c r="G12" s="6" t="str">
        <f>IF(D18="No",-PMT(G11/12,360,G10),G10*G11/12)</f>
        <v>#VALUE!</v>
      </c>
      <c r="I12" s="1"/>
    </row>
    <row r="13" ht="15.75" customHeight="1">
      <c r="A13" s="1"/>
      <c r="B13" s="5" t="s">
        <v>13</v>
      </c>
      <c r="E13" s="1"/>
      <c r="F13" s="1" t="s">
        <v>14</v>
      </c>
      <c r="G13" s="8" t="s">
        <v>15</v>
      </c>
      <c r="I13" s="1"/>
    </row>
    <row r="14" ht="15.75" customHeight="1">
      <c r="A14" s="1"/>
      <c r="B14" s="1" t="s">
        <v>16</v>
      </c>
      <c r="E14" s="1"/>
      <c r="F14" s="1" t="s">
        <v>17</v>
      </c>
      <c r="G14" s="9" t="s">
        <v>18</v>
      </c>
      <c r="I14" s="1"/>
    </row>
    <row r="15" ht="15.75" customHeight="1">
      <c r="A15" s="1"/>
      <c r="B15" s="4" t="s">
        <v>19</v>
      </c>
      <c r="E15" s="1"/>
      <c r="F15" s="1" t="s">
        <v>20</v>
      </c>
      <c r="G15" s="1"/>
      <c r="H15" s="8">
        <v>0.0</v>
      </c>
      <c r="I15" s="1"/>
    </row>
    <row r="16" ht="15.75" customHeight="1">
      <c r="A16" s="1"/>
      <c r="B16" s="1" t="s">
        <v>21</v>
      </c>
      <c r="C16" s="1"/>
      <c r="D16" s="1" t="s">
        <v>22</v>
      </c>
      <c r="E16" s="1"/>
      <c r="F16" s="1" t="s">
        <v>23</v>
      </c>
      <c r="G16" s="1"/>
      <c r="H16" s="6" t="str">
        <f>G12+G13/12+G14/12+H15</f>
        <v>#VALUE!</v>
      </c>
      <c r="I16" s="1"/>
    </row>
    <row r="17" ht="15.75" customHeight="1">
      <c r="A17" s="1"/>
      <c r="B17" s="1" t="s">
        <v>24</v>
      </c>
      <c r="C17" s="1"/>
      <c r="D17" s="1" t="s">
        <v>25</v>
      </c>
      <c r="E17" s="1"/>
      <c r="F17" s="1" t="s">
        <v>26</v>
      </c>
      <c r="G17" s="1"/>
      <c r="H17" s="10" t="s">
        <v>27</v>
      </c>
      <c r="I17" s="1"/>
    </row>
    <row r="18" ht="15.75" customHeight="1">
      <c r="A18" s="1"/>
      <c r="B18" s="1" t="s">
        <v>28</v>
      </c>
      <c r="C18" s="1"/>
      <c r="D18" s="1" t="s">
        <v>29</v>
      </c>
      <c r="E18" s="1"/>
      <c r="F18" s="1" t="s">
        <v>30</v>
      </c>
      <c r="G18" s="1"/>
      <c r="H18" s="11" t="str">
        <f>H17/H16</f>
        <v>#VALUE!</v>
      </c>
      <c r="I18" s="1"/>
    </row>
    <row r="19" ht="15.75" customHeight="1">
      <c r="A19" s="1"/>
      <c r="B19" s="1" t="s">
        <v>31</v>
      </c>
      <c r="C19" s="1"/>
      <c r="D19" s="1" t="s">
        <v>32</v>
      </c>
      <c r="E19" s="1"/>
      <c r="F19" s="4" t="s">
        <v>33</v>
      </c>
      <c r="I19" s="1"/>
    </row>
    <row r="20" ht="15.75" customHeight="1">
      <c r="A20" s="1"/>
      <c r="B20" s="1" t="s">
        <v>34</v>
      </c>
      <c r="C20" s="1"/>
      <c r="D20" s="12" t="s">
        <v>35</v>
      </c>
      <c r="E20" s="1"/>
      <c r="F20" s="1" t="s">
        <v>36</v>
      </c>
      <c r="G20" s="13" t="s">
        <v>37</v>
      </c>
      <c r="H20" s="6" t="str">
        <f>G10*G20%</f>
        <v>#VALUE!</v>
      </c>
      <c r="I20" s="1"/>
    </row>
    <row r="21" ht="15.75" customHeight="1">
      <c r="A21" s="1"/>
      <c r="B21" s="1" t="s">
        <v>38</v>
      </c>
      <c r="C21" s="1"/>
      <c r="D21" s="14" t="s">
        <v>39</v>
      </c>
      <c r="E21" s="1"/>
      <c r="F21" s="1" t="s">
        <v>40</v>
      </c>
      <c r="G21" s="15">
        <v>995.0</v>
      </c>
      <c r="I21" s="1"/>
    </row>
    <row r="22" ht="15.75" customHeight="1">
      <c r="A22" s="1"/>
      <c r="B22" s="1" t="s">
        <v>41</v>
      </c>
      <c r="C22" s="1"/>
      <c r="D22" s="9" t="s">
        <v>42</v>
      </c>
      <c r="E22" s="1"/>
      <c r="F22" s="1" t="s">
        <v>43</v>
      </c>
      <c r="G22" s="1"/>
      <c r="H22" s="15">
        <v>700.0</v>
      </c>
      <c r="I22" s="1"/>
    </row>
    <row r="23" ht="15.75" customHeight="1">
      <c r="A23" s="1"/>
      <c r="B23" s="1" t="s">
        <v>44</v>
      </c>
      <c r="C23" s="16"/>
      <c r="D23" s="8" t="s">
        <v>45</v>
      </c>
      <c r="E23" s="1"/>
      <c r="F23" s="1" t="s">
        <v>46</v>
      </c>
      <c r="G23" s="15">
        <v>500.0</v>
      </c>
      <c r="I23" s="1"/>
    </row>
    <row r="24" ht="15.75" customHeight="1">
      <c r="A24" s="1"/>
      <c r="B24" s="1" t="s">
        <v>47</v>
      </c>
      <c r="C24" s="1"/>
      <c r="D24" s="9" t="s">
        <v>48</v>
      </c>
      <c r="E24" s="1"/>
      <c r="F24" s="1" t="s">
        <v>49</v>
      </c>
      <c r="G24" s="15">
        <v>120.0</v>
      </c>
      <c r="I24" s="1"/>
    </row>
    <row r="25" ht="15.75" customHeight="1">
      <c r="A25" s="1"/>
      <c r="B25" s="1" t="s">
        <v>50</v>
      </c>
      <c r="C25" s="1"/>
      <c r="D25" s="6" t="str">
        <f>IF(D16="DSCR - Purchase",0,D23-D24)</f>
        <v>#VALUE!</v>
      </c>
      <c r="E25" s="1"/>
      <c r="F25" s="1" t="s">
        <v>51</v>
      </c>
      <c r="G25" s="6" t="str">
        <f>H20+G21+H22+G23+G24</f>
        <v>#VALUE!</v>
      </c>
      <c r="I25" s="1"/>
    </row>
    <row r="26" ht="15.75" customHeight="1">
      <c r="A26" s="1"/>
      <c r="B26" s="1" t="s">
        <v>52</v>
      </c>
      <c r="C26" s="1"/>
      <c r="D26" s="17" t="str">
        <f>D23/D22</f>
        <v>#VALUE!</v>
      </c>
      <c r="E26" s="1"/>
      <c r="F26" s="4" t="s">
        <v>53</v>
      </c>
      <c r="I26" s="1"/>
    </row>
    <row r="27" ht="15.75" customHeight="1">
      <c r="A27" s="1"/>
      <c r="B27" s="1"/>
      <c r="C27" s="1"/>
      <c r="D27" s="1"/>
      <c r="E27" s="1"/>
      <c r="F27" s="1" t="s">
        <v>54</v>
      </c>
      <c r="G27" s="6" t="str">
        <f>IF(D16="DSCR - Purchase",D22-D23+G25,G25-D25)</f>
        <v>#VALUE!</v>
      </c>
      <c r="I27" s="1"/>
    </row>
    <row r="28" ht="15.75" customHeight="1">
      <c r="A28" s="1"/>
      <c r="B28" s="18" t="s">
        <v>55</v>
      </c>
      <c r="I28" s="1"/>
    </row>
    <row r="29" ht="15.75" customHeight="1">
      <c r="A29" s="1"/>
      <c r="B29" s="19" t="s">
        <v>56</v>
      </c>
      <c r="I29" s="1"/>
    </row>
    <row r="30" ht="15.75" customHeight="1">
      <c r="A30" s="1"/>
      <c r="I30" s="1"/>
    </row>
    <row r="31" ht="15.75" customHeight="1">
      <c r="A31" s="1"/>
      <c r="I31" s="1"/>
    </row>
    <row r="32" ht="15.75" customHeight="1">
      <c r="A32" s="1"/>
      <c r="B32" s="1"/>
      <c r="C32" s="1"/>
      <c r="D32" s="1"/>
      <c r="E32" s="1"/>
      <c r="F32" s="1"/>
      <c r="G32" s="1"/>
      <c r="H32" s="1"/>
      <c r="I32" s="1"/>
    </row>
    <row r="33" ht="15.75" customHeight="1">
      <c r="A33" s="1"/>
      <c r="B33" s="1" t="s">
        <v>57</v>
      </c>
      <c r="C33" s="1"/>
      <c r="D33" s="1"/>
      <c r="E33" s="1"/>
      <c r="F33" s="1"/>
      <c r="G33" s="1"/>
      <c r="H33" s="1"/>
      <c r="I33" s="1"/>
    </row>
    <row r="34" ht="15.75" customHeight="1">
      <c r="A34" s="1"/>
      <c r="B34" s="1"/>
      <c r="C34" s="1"/>
      <c r="D34" s="1"/>
      <c r="E34" s="1"/>
      <c r="F34" s="1"/>
      <c r="G34" s="1"/>
      <c r="H34" s="1"/>
      <c r="I34" s="1"/>
    </row>
    <row r="35" ht="15.75" customHeight="1">
      <c r="A35" s="1"/>
      <c r="B35" s="20"/>
      <c r="C35" s="20"/>
      <c r="D35" s="21" t="s">
        <v>58</v>
      </c>
      <c r="E35" s="1"/>
      <c r="F35" s="1"/>
      <c r="G35" s="1"/>
      <c r="H35" s="1"/>
      <c r="I35" s="1"/>
    </row>
    <row r="36" ht="15.75" customHeight="1">
      <c r="A36" s="1"/>
      <c r="B36" s="1" t="s">
        <v>59</v>
      </c>
      <c r="C36" s="1"/>
      <c r="D36" s="1" t="s">
        <v>60</v>
      </c>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22"/>
      <c r="D40" s="1"/>
      <c r="E40" s="1"/>
      <c r="F40" s="1"/>
      <c r="G40" s="1"/>
      <c r="H40" s="1"/>
      <c r="I40" s="1"/>
    </row>
    <row r="41" ht="15.75" customHeight="1">
      <c r="A41" s="1"/>
      <c r="B41" s="1"/>
      <c r="C41" s="22"/>
      <c r="D41" s="1"/>
      <c r="E41" s="1"/>
      <c r="F41" s="1"/>
      <c r="G41" s="23"/>
      <c r="H41" s="1"/>
      <c r="I41" s="1"/>
    </row>
    <row r="42" ht="15.75" customHeight="1">
      <c r="A42" s="1"/>
      <c r="B42" s="1"/>
      <c r="C42" s="22"/>
      <c r="D42" s="1"/>
      <c r="E42" s="1"/>
      <c r="F42" s="1"/>
      <c r="G42" s="23"/>
      <c r="H42" s="1"/>
      <c r="I42" s="1"/>
    </row>
    <row r="43" ht="15.75" customHeight="1">
      <c r="A43" s="1"/>
      <c r="B43" s="1"/>
      <c r="C43" s="22"/>
      <c r="D43" s="1"/>
      <c r="E43" s="1"/>
      <c r="F43" s="1"/>
      <c r="G43" s="23"/>
      <c r="H43" s="1"/>
      <c r="I43" s="1"/>
    </row>
    <row r="44" ht="15.75" customHeight="1">
      <c r="A44" s="1"/>
      <c r="B44" s="1"/>
      <c r="C44" s="22"/>
      <c r="D44" s="1"/>
      <c r="E44" s="1"/>
      <c r="F44" s="1"/>
      <c r="G44" s="23"/>
      <c r="H44" s="1"/>
      <c r="I44" s="1"/>
    </row>
    <row r="45" ht="15.75" customHeight="1">
      <c r="A45" s="1"/>
      <c r="B45" s="1"/>
      <c r="C45" s="22"/>
      <c r="D45" s="1"/>
      <c r="E45" s="1"/>
      <c r="F45" s="1"/>
      <c r="G45" s="23"/>
      <c r="H45" s="1"/>
      <c r="I45" s="1"/>
    </row>
    <row r="46" ht="15.75" customHeight="1">
      <c r="A46" s="1"/>
      <c r="B46" s="1"/>
      <c r="C46" s="22"/>
      <c r="D46" s="1"/>
      <c r="E46" s="1"/>
      <c r="F46" s="1"/>
      <c r="G46" s="23"/>
      <c r="H46" s="1"/>
      <c r="I46" s="1"/>
    </row>
    <row r="47" ht="15.75" customHeight="1">
      <c r="A47" s="1"/>
      <c r="B47" s="1"/>
      <c r="C47" s="22"/>
      <c r="D47" s="1"/>
      <c r="E47" s="1"/>
      <c r="F47" s="1"/>
      <c r="G47" s="23"/>
      <c r="H47" s="1"/>
      <c r="I47" s="1"/>
    </row>
    <row r="48" ht="15.75" customHeight="1">
      <c r="A48" s="1"/>
      <c r="B48" s="1"/>
      <c r="C48" s="22"/>
      <c r="D48" s="1"/>
      <c r="E48" s="1"/>
      <c r="F48" s="1"/>
      <c r="G48" s="23"/>
      <c r="H48" s="1"/>
      <c r="I48" s="1"/>
    </row>
    <row r="49" ht="15.75" customHeight="1">
      <c r="A49" s="1"/>
      <c r="B49" s="1"/>
      <c r="C49" s="22"/>
      <c r="D49" s="1"/>
      <c r="E49" s="1"/>
      <c r="F49" s="1"/>
      <c r="G49" s="23"/>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9:D9"/>
    <mergeCell ref="B10:D11"/>
    <mergeCell ref="B12:D12"/>
    <mergeCell ref="B13:D13"/>
    <mergeCell ref="B14:D14"/>
    <mergeCell ref="B15:D15"/>
    <mergeCell ref="B2:C7"/>
    <mergeCell ref="G2:H3"/>
    <mergeCell ref="G4:H4"/>
    <mergeCell ref="G5:H5"/>
    <mergeCell ref="G6:H6"/>
    <mergeCell ref="G7:H7"/>
    <mergeCell ref="F9:H9"/>
    <mergeCell ref="G23:H23"/>
    <mergeCell ref="G24:H24"/>
    <mergeCell ref="G25:H25"/>
    <mergeCell ref="F26:H26"/>
    <mergeCell ref="G27:H27"/>
    <mergeCell ref="B28:H28"/>
    <mergeCell ref="B29:H31"/>
    <mergeCell ref="G10:H10"/>
    <mergeCell ref="G11:H11"/>
    <mergeCell ref="G12:H12"/>
    <mergeCell ref="G13:H13"/>
    <mergeCell ref="G14:H14"/>
    <mergeCell ref="F19:H19"/>
    <mergeCell ref="G21:H21"/>
  </mergeCells>
  <dataValidations>
    <dataValidation type="list" allowBlank="1" showErrorMessage="1" sqref="D17">
      <formula1>"30 Year Fixed,5/6 ARM,3/7 ARM,30 Year Fixed - I/O"</formula1>
    </dataValidation>
    <dataValidation type="list" allowBlank="1" showErrorMessage="1" sqref="D19">
      <formula1>"Single Family,2-4 Units,5+ Units,Mobile Home,Land/Lot,Other"</formula1>
    </dataValidation>
    <dataValidation type="list" allowBlank="1" showErrorMessage="1" sqref="D20">
      <formula1>"3-2-1,3-2-0,3-0-0,1-1-1-1-1,No Prepayment,5-4-3-2-1"</formula1>
    </dataValidation>
    <dataValidation type="list" allowBlank="1" showErrorMessage="1" sqref="D16">
      <formula1>"DSCR - Purchase,DSCR - Rate and Term,DSCR - Cashout"</formula1>
    </dataValidation>
    <dataValidation type="list" allowBlank="1" showErrorMessage="1" sqref="D18">
      <formula1>"No,5 Year,10 Year"</formula1>
    </dataValidation>
  </dataValidations>
  <drawing r:id="rId1"/>
</worksheet>
</file>