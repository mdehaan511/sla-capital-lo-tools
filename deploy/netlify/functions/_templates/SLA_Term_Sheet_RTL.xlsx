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<sst xmlns="http://schemas.openxmlformats.org/spreadsheetml/2006/main" count="59" uniqueCount="57">
  <si>
    <t>Pricing Terms Sheet</t>
  </si>
  <si>
    <t>SLA Capital</t>
  </si>
  <si>
    <t>Chance Luce</t>
  </si>
  <si>
    <t>chance@slacapital.com</t>
  </si>
  <si>
    <t>503-490-1493</t>
  </si>
  <si>
    <t>Property Address</t>
  </si>
  <si>
    <t>Loan Terms</t>
  </si>
  <si>
    <t>[Deal title (deal title)]</t>
  </si>
  <si>
    <t>Loan Amount</t>
  </si>
  <si>
    <t>Interest Rate</t>
  </si>
  <si>
    <t>[Deal Loan Interest % (deal custom)]%</t>
  </si>
  <si>
    <t>Borrower &amp; Guarantor</t>
  </si>
  <si>
    <t>Monthly Payment</t>
  </si>
  <si>
    <t>[Person full name (person name)]</t>
  </si>
  <si>
    <t>Interest Type</t>
  </si>
  <si>
    <t>Dutch</t>
  </si>
  <si>
    <t>[Organization name (organization name)]</t>
  </si>
  <si>
    <t>Cash Reserves Required</t>
  </si>
  <si>
    <t>Property Details</t>
  </si>
  <si>
    <t>Estimated Lender/Loan Fees</t>
  </si>
  <si>
    <t>Loan Type</t>
  </si>
  <si>
    <t>Fix and Flip</t>
  </si>
  <si>
    <t>Loan Points</t>
  </si>
  <si>
    <t>[Deal Loan Points (deal custom)]</t>
  </si>
  <si>
    <t>Loan Term</t>
  </si>
  <si>
    <t>12 Months</t>
  </si>
  <si>
    <t>Underwriting Fee</t>
  </si>
  <si>
    <t>Use of Funds</t>
  </si>
  <si>
    <t>Purchase Only</t>
  </si>
  <si>
    <t>Doc Prep Fee</t>
  </si>
  <si>
    <t>Property Type</t>
  </si>
  <si>
    <t>Single Family</t>
  </si>
  <si>
    <t>Processing Fee</t>
  </si>
  <si>
    <t>Experience Level (Last 36 Months)</t>
  </si>
  <si>
    <t>10+</t>
  </si>
  <si>
    <t>Credit/Background Check</t>
  </si>
  <si>
    <t>Credit Score (Estimate)</t>
  </si>
  <si>
    <t>[Person Estimated Credit Score (person custom)]</t>
  </si>
  <si>
    <t>Total Estimated Fees:</t>
  </si>
  <si>
    <t>Purchase Price</t>
  </si>
  <si>
    <t>[Deal Purchase Price - F&amp;F (deal custom)]</t>
  </si>
  <si>
    <t>Estimated Cash to Close</t>
  </si>
  <si>
    <t>Down Payment</t>
  </si>
  <si>
    <t>Renovation Budget</t>
  </si>
  <si>
    <t>[Deal Amount of Rehab Funds F&amp;F (deal custom)]</t>
  </si>
  <si>
    <t>Total Costs and Fees</t>
  </si>
  <si>
    <t>After Repair Value</t>
  </si>
  <si>
    <t>[Deal Property ARV F&amp;F (deal custom)]</t>
  </si>
  <si>
    <t>Estimated Title and Escrow Costs</t>
  </si>
  <si>
    <t>Loan $ of ARV (75 max)</t>
  </si>
  <si>
    <t>*Does not include prepaid property taxes, insurance, or prepaid interest required to close</t>
  </si>
  <si>
    <t>Loan to Cost (LTC)</t>
  </si>
  <si>
    <t>We are pleased to issue this NON-BINDING preliminary Letter of Interest concerning your loan request. It is our understanding that you would accept a loan with the above terms. Full consderation of the loan request will commence upon timely receipt of this letter by Borrower. The above terms are subject to underwriting and approval of the property and borrowers creditworthiness.</t>
  </si>
  <si>
    <t>Accepted and Agreed To By:</t>
  </si>
  <si>
    <t>[Short today's date (datetime today_short)]</t>
  </si>
  <si>
    <t>Signature</t>
  </si>
  <si>
    <t>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</si>
</sst>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0.0%"/>
  </numFmts>
  <fonts count="5">
    <font>
      <sz val="10.0"/>
      <color rgb="FF000000"/>
      <name val="Arial"/>
      <scheme val="minor"/>
    </font>
    <font>
      <color theme="1"/>
      <name val="Arial"/>
    </font>
    <font>
      <b/>
      <sz val="12.0"/>
      <color theme="1"/>
      <name val="Arial"/>
    </font>
    <font>
      <b/>
      <color theme="1"/>
      <name val="Arial"/>
    </font>
    <font>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B7B7B7"/>
        <bgColor rgb="FFB7B7B7"/>
      </patternFill>
    </fill>
  </fills>
  <borders count="2">
    <border/>
    <border>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right" vertical="bottom"/>
    </xf>
    <xf borderId="0" fillId="0" fontId="1" numFmtId="0" xfId="0" applyAlignment="1" applyFont="1">
      <alignment vertical="bottom"/>
    </xf>
    <xf borderId="0" fillId="0" fontId="2" numFmtId="0" xfId="0" applyAlignment="1" applyFont="1">
      <alignment horizontal="center"/>
    </xf>
    <xf borderId="0" fillId="0" fontId="1" numFmtId="0" xfId="0" applyAlignment="1" applyFont="1">
      <alignment horizontal="center" vertical="bottom"/>
    </xf>
    <xf borderId="0" fillId="2" fontId="2" numFmtId="0" xfId="0" applyAlignment="1" applyFill="1" applyFont="1">
      <alignment vertical="bottom"/>
    </xf>
    <xf borderId="0" fillId="0" fontId="3" numFmtId="164" xfId="0" applyAlignment="1" applyFont="1" applyNumberFormat="1">
      <alignment horizontal="right" vertical="bottom"/>
    </xf>
    <xf borderId="0" fillId="0" fontId="1" numFmtId="0" xfId="0" applyAlignment="1" applyFont="1">
      <alignment horizontal="right" readingOrder="0" vertical="bottom"/>
    </xf>
    <xf borderId="0" fillId="0" fontId="1" numFmtId="164" xfId="0" applyAlignment="1" applyFont="1" applyNumberFormat="1">
      <alignment horizontal="right" vertical="bottom"/>
    </xf>
    <xf borderId="0" fillId="0" fontId="1" numFmtId="0" xfId="0" applyAlignment="1" applyFont="1">
      <alignment horizontal="center" readingOrder="0" vertical="bottom"/>
    </xf>
    <xf borderId="0" fillId="0" fontId="1" numFmtId="165" xfId="0" applyAlignment="1" applyFont="1" applyNumberFormat="1">
      <alignment horizontal="right" readingOrder="0" vertical="bottom"/>
    </xf>
    <xf borderId="0" fillId="0" fontId="4" numFmtId="0" xfId="0" applyAlignment="1" applyFont="1">
      <alignment readingOrder="0"/>
    </xf>
    <xf borderId="0" fillId="0" fontId="4" numFmtId="165" xfId="0" applyAlignment="1" applyFont="1" applyNumberFormat="1">
      <alignment readingOrder="0"/>
    </xf>
    <xf borderId="0" fillId="0" fontId="1" numFmtId="164" xfId="0" applyAlignment="1" applyFont="1" applyNumberFormat="1">
      <alignment horizontal="right" readingOrder="0" vertical="bottom"/>
    </xf>
    <xf borderId="0" fillId="0" fontId="1" numFmtId="166" xfId="0" applyAlignment="1" applyFont="1" applyNumberFormat="1">
      <alignment horizontal="right" readingOrder="0" vertical="bottom"/>
    </xf>
    <xf borderId="0" fillId="0" fontId="1" numFmtId="165" xfId="0" applyAlignment="1" applyFont="1" applyNumberFormat="1">
      <alignment horizontal="right" vertical="bottom"/>
    </xf>
    <xf borderId="0" fillId="0" fontId="3" numFmtId="10" xfId="0" applyAlignment="1" applyFont="1" applyNumberFormat="1">
      <alignment horizontal="right" vertical="bottom"/>
    </xf>
    <xf borderId="0" fillId="0" fontId="1" numFmtId="0" xfId="0" applyAlignment="1" applyFont="1">
      <alignment shrinkToFit="0" vertical="bottom" wrapText="1"/>
    </xf>
    <xf borderId="0" fillId="3" fontId="1" numFmtId="0" xfId="0" applyAlignment="1" applyFill="1" applyFont="1">
      <alignment vertical="bottom"/>
    </xf>
    <xf borderId="0" fillId="0" fontId="1" numFmtId="0" xfId="0" applyAlignment="1" applyFont="1">
      <alignment shrinkToFit="0" wrapText="1"/>
    </xf>
    <xf borderId="1" fillId="0"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0</xdr:row>
      <xdr:rowOff>142875</xdr:rowOff>
    </xdr:from>
    <xdr:ext cx="1666875" cy="1323975"/>
    <xdr:grpSp>
      <xdr:nvGrpSpPr>
        <xdr:cNvPr id="2" name="Shape 2"/>
        <xdr:cNvGrpSpPr/>
      </xdr:nvGrpSpPr>
      <xdr:grpSpPr>
        <a:xfrm>
          <a:off x="4512563" y="3118013"/>
          <a:ext cx="1666875" cy="1323975"/>
          <a:chOff x="4512563" y="3118013"/>
          <a:chExt cx="1666875" cy="1323975"/>
        </a:xfrm>
      </xdr:grpSpPr>
      <xdr:grpSp>
        <xdr:nvGrpSpPr>
          <xdr:cNvPr id="3" name="Shape 3" title="Drawing"/>
          <xdr:cNvGrpSpPr/>
        </xdr:nvGrpSpPr>
        <xdr:grpSpPr>
          <a:xfrm>
            <a:off x="4512563" y="3118013"/>
            <a:ext cx="1666875" cy="1323975"/>
            <a:chOff x="152400" y="152400"/>
            <a:chExt cx="5144701" cy="4095250"/>
          </a:xfrm>
        </xdr:grpSpPr>
        <xdr:sp>
          <xdr:nvSpPr>
            <xdr:cNvPr id="4" name="Shape 4"/>
            <xdr:cNvSpPr/>
          </xdr:nvSpPr>
          <xdr:spPr>
            <a:xfrm>
              <a:off x="152400" y="152400"/>
              <a:ext cx="5144700" cy="40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152400" y="152400"/>
              <a:ext cx="5144701" cy="4095250"/>
            </a:xfrm>
            <a:prstGeom prst="rect">
              <a:avLst/>
            </a:prstGeom>
            <a:noFill/>
            <a:ln>
              <a:noFill/>
            </a:ln>
          </xdr:spPr>
        </xdr:pic>
      </xdr:grp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5"/>
    <col customWidth="1" min="2" max="2" width="27.13"/>
    <col customWidth="1" min="3" max="3" width="7.25"/>
    <col customWidth="1" min="4" max="4" width="23.38"/>
    <col customWidth="1" min="5" max="5" width="2.5"/>
    <col customWidth="1" min="6" max="6" width="22.63"/>
  </cols>
  <sheetData>
    <row r="1" ht="15.75" customHeight="1">
      <c r="A1" s="1"/>
      <c r="C1" s="2"/>
      <c r="D1" s="2"/>
      <c r="E1" s="2"/>
      <c r="F1" s="2"/>
      <c r="G1" s="2"/>
      <c r="H1" s="2"/>
    </row>
    <row r="2" ht="15.75" customHeight="1">
      <c r="A2" s="2"/>
      <c r="C2" s="2"/>
      <c r="D2" s="2"/>
      <c r="E2" s="2"/>
      <c r="F2" s="2"/>
      <c r="G2" s="3" t="s">
        <v>0</v>
      </c>
    </row>
    <row r="3" ht="15.75" customHeight="1">
      <c r="A3" s="2"/>
      <c r="B3" s="2"/>
      <c r="C3" s="2"/>
      <c r="D3" s="2"/>
      <c r="E3" s="2"/>
      <c r="F3" s="2"/>
    </row>
    <row r="4" ht="15.75" customHeight="1">
      <c r="A4" s="2"/>
      <c r="B4" s="2"/>
      <c r="C4" s="2"/>
      <c r="D4" s="2"/>
      <c r="E4" s="2"/>
      <c r="F4" s="2"/>
      <c r="G4" s="4" t="s">
        <v>1</v>
      </c>
    </row>
    <row r="5" ht="15.75" customHeight="1">
      <c r="A5" s="2"/>
      <c r="B5" s="2"/>
      <c r="C5" s="2"/>
      <c r="D5" s="2"/>
      <c r="E5" s="2"/>
      <c r="F5" s="2"/>
      <c r="G5" s="4" t="s">
        <v>2</v>
      </c>
    </row>
    <row r="6" ht="15.75" customHeight="1">
      <c r="A6" s="2"/>
      <c r="B6" s="2"/>
      <c r="C6" s="2"/>
      <c r="D6" s="2"/>
      <c r="E6" s="2"/>
      <c r="F6" s="2"/>
      <c r="G6" s="4" t="s">
        <v>3</v>
      </c>
    </row>
    <row r="7" ht="15.75" customHeight="1">
      <c r="A7" s="2"/>
      <c r="B7" s="2"/>
      <c r="C7" s="2"/>
      <c r="D7" s="2"/>
      <c r="E7" s="2"/>
      <c r="F7" s="2"/>
      <c r="G7" s="4" t="s">
        <v>4</v>
      </c>
    </row>
    <row r="8" ht="15.75" customHeight="1">
      <c r="A8" s="2"/>
      <c r="B8" s="2"/>
      <c r="C8" s="2"/>
      <c r="D8" s="2"/>
      <c r="E8" s="2"/>
      <c r="F8" s="2"/>
      <c r="G8" s="2"/>
      <c r="H8" s="2"/>
    </row>
    <row r="9" ht="15.75" customHeight="1">
      <c r="A9" s="2"/>
      <c r="B9" s="5" t="s">
        <v>5</v>
      </c>
      <c r="E9" s="2"/>
      <c r="F9" s="5" t="s">
        <v>6</v>
      </c>
    </row>
    <row r="10" ht="15.75" customHeight="1">
      <c r="A10" s="2"/>
      <c r="B10" s="2" t="s">
        <v>7</v>
      </c>
      <c r="E10" s="2"/>
      <c r="F10" s="2" t="s">
        <v>8</v>
      </c>
      <c r="G10" s="6" t="str">
        <f>D22+D24-D23</f>
        <v>#VALUE!</v>
      </c>
    </row>
    <row r="11" ht="15.75" customHeight="1">
      <c r="A11" s="2"/>
      <c r="E11" s="2"/>
      <c r="F11" s="2" t="s">
        <v>9</v>
      </c>
      <c r="G11" s="7" t="s">
        <v>10</v>
      </c>
    </row>
    <row r="12" ht="15.75" customHeight="1">
      <c r="A12" s="2"/>
      <c r="B12" s="5" t="s">
        <v>11</v>
      </c>
      <c r="E12" s="2"/>
      <c r="F12" s="2" t="s">
        <v>12</v>
      </c>
      <c r="G12" s="8" t="str">
        <f>IF(G13="Dutch",G10*G11/12,(D22-D23)*G11/12)</f>
        <v>#VALUE!</v>
      </c>
    </row>
    <row r="13" ht="15.75" customHeight="1">
      <c r="A13" s="2"/>
      <c r="B13" s="2" t="s">
        <v>13</v>
      </c>
      <c r="C13" s="2"/>
      <c r="D13" s="2"/>
      <c r="E13" s="2"/>
      <c r="F13" s="2" t="s">
        <v>14</v>
      </c>
      <c r="G13" s="1" t="s">
        <v>15</v>
      </c>
    </row>
    <row r="14" ht="15.75" customHeight="1">
      <c r="A14" s="2"/>
      <c r="B14" s="2" t="s">
        <v>16</v>
      </c>
      <c r="E14" s="2"/>
      <c r="F14" s="2" t="s">
        <v>17</v>
      </c>
      <c r="G14" s="8" t="str">
        <f>G12*8+G26+D24*20%</f>
        <v>#VALUE!</v>
      </c>
    </row>
    <row r="15" ht="15.75" customHeight="1">
      <c r="A15" s="2"/>
      <c r="B15" s="5" t="s">
        <v>18</v>
      </c>
      <c r="E15" s="2"/>
      <c r="F15" s="5" t="s">
        <v>19</v>
      </c>
    </row>
    <row r="16" ht="15.75" customHeight="1">
      <c r="A16" s="2"/>
      <c r="B16" s="2" t="s">
        <v>20</v>
      </c>
      <c r="C16" s="2"/>
      <c r="D16" s="2" t="s">
        <v>21</v>
      </c>
      <c r="E16" s="2"/>
      <c r="F16" s="2" t="s">
        <v>22</v>
      </c>
      <c r="G16" s="9" t="s">
        <v>23</v>
      </c>
      <c r="H16" s="8" t="str">
        <f>G10*G16%</f>
        <v>#VALUE!</v>
      </c>
    </row>
    <row r="17" ht="15.75" customHeight="1">
      <c r="A17" s="2"/>
      <c r="B17" s="2" t="s">
        <v>24</v>
      </c>
      <c r="C17" s="2"/>
      <c r="D17" s="2" t="s">
        <v>25</v>
      </c>
      <c r="E17" s="2"/>
      <c r="F17" s="2" t="s">
        <v>26</v>
      </c>
      <c r="G17" s="10">
        <v>600.0</v>
      </c>
    </row>
    <row r="18" ht="15.75" customHeight="1">
      <c r="A18" s="2"/>
      <c r="B18" s="2" t="s">
        <v>27</v>
      </c>
      <c r="C18" s="2"/>
      <c r="D18" s="2" t="s">
        <v>28</v>
      </c>
      <c r="E18" s="2"/>
      <c r="F18" s="2" t="s">
        <v>29</v>
      </c>
      <c r="G18" s="10">
        <v>900.0</v>
      </c>
    </row>
    <row r="19" ht="15.75" customHeight="1">
      <c r="A19" s="2"/>
      <c r="B19" s="2" t="s">
        <v>30</v>
      </c>
      <c r="C19" s="2"/>
      <c r="D19" s="2" t="s">
        <v>31</v>
      </c>
      <c r="E19" s="2"/>
      <c r="F19" s="11" t="s">
        <v>32</v>
      </c>
      <c r="H19" s="12">
        <v>500.0</v>
      </c>
    </row>
    <row r="20" ht="15.75" customHeight="1">
      <c r="A20" s="2"/>
      <c r="B20" s="2" t="s">
        <v>33</v>
      </c>
      <c r="C20" s="2"/>
      <c r="D20" s="7" t="s">
        <v>34</v>
      </c>
      <c r="E20" s="2"/>
      <c r="F20" s="11" t="s">
        <v>35</v>
      </c>
      <c r="H20" s="12">
        <v>150.0</v>
      </c>
    </row>
    <row r="21" ht="15.75" customHeight="1">
      <c r="A21" s="2"/>
      <c r="B21" s="2" t="s">
        <v>36</v>
      </c>
      <c r="C21" s="2"/>
      <c r="D21" s="7" t="s">
        <v>37</v>
      </c>
      <c r="E21" s="2"/>
      <c r="F21" s="2" t="s">
        <v>38</v>
      </c>
      <c r="G21" s="8" t="str">
        <f>H16+G17+G18+H19+H20</f>
        <v>#VALUE!</v>
      </c>
    </row>
    <row r="22" ht="15.75" customHeight="1">
      <c r="A22" s="2"/>
      <c r="B22" s="2" t="s">
        <v>39</v>
      </c>
      <c r="C22" s="2"/>
      <c r="D22" s="13" t="s">
        <v>40</v>
      </c>
      <c r="E22" s="2"/>
      <c r="F22" s="5" t="s">
        <v>41</v>
      </c>
    </row>
    <row r="23" ht="15.75" customHeight="1">
      <c r="A23" s="2"/>
      <c r="B23" s="2" t="s">
        <v>42</v>
      </c>
      <c r="C23" s="14">
        <v>0.1</v>
      </c>
      <c r="D23" s="8" t="str">
        <f>D22*C23</f>
        <v>#VALUE!</v>
      </c>
      <c r="E23" s="2"/>
      <c r="F23" s="2" t="s">
        <v>42</v>
      </c>
      <c r="G23" s="8" t="str">
        <f>D23</f>
        <v>#VALUE!</v>
      </c>
    </row>
    <row r="24" ht="15.75" customHeight="1">
      <c r="A24" s="2"/>
      <c r="B24" s="2" t="s">
        <v>43</v>
      </c>
      <c r="C24" s="2"/>
      <c r="D24" s="13" t="s">
        <v>44</v>
      </c>
      <c r="E24" s="2"/>
      <c r="F24" s="2" t="s">
        <v>45</v>
      </c>
      <c r="G24" s="8" t="str">
        <f>G21</f>
        <v>#VALUE!</v>
      </c>
    </row>
    <row r="25" ht="15.75" customHeight="1">
      <c r="A25" s="2"/>
      <c r="B25" s="2" t="s">
        <v>46</v>
      </c>
      <c r="C25" s="2"/>
      <c r="D25" s="13" t="s">
        <v>47</v>
      </c>
      <c r="E25" s="2"/>
      <c r="F25" s="2" t="s">
        <v>48</v>
      </c>
      <c r="G25" s="2"/>
      <c r="H25" s="15">
        <v>2500.0</v>
      </c>
    </row>
    <row r="26" ht="15.75" customHeight="1">
      <c r="A26" s="2"/>
      <c r="B26" s="2"/>
      <c r="C26" s="2"/>
      <c r="D26" s="8"/>
      <c r="E26" s="2"/>
      <c r="F26" s="2" t="s">
        <v>41</v>
      </c>
      <c r="G26" s="6" t="str">
        <f>G23+G24+H25</f>
        <v>#VALUE!</v>
      </c>
    </row>
    <row r="27" ht="15.75" customHeight="1">
      <c r="A27" s="2"/>
      <c r="B27" s="2" t="s">
        <v>49</v>
      </c>
      <c r="C27" s="2"/>
      <c r="D27" s="16" t="str">
        <f>G10/D25</f>
        <v>#VALUE!</v>
      </c>
      <c r="E27" s="2"/>
      <c r="F27" s="17" t="s">
        <v>50</v>
      </c>
    </row>
    <row r="28" ht="15.75" customHeight="1">
      <c r="A28" s="2"/>
      <c r="B28" s="2" t="s">
        <v>51</v>
      </c>
      <c r="C28" s="2"/>
      <c r="D28" s="16" t="str">
        <f>G10/(D22+D24)</f>
        <v>#VALUE!</v>
      </c>
      <c r="E28" s="2"/>
    </row>
    <row r="29" ht="15.75" customHeight="1">
      <c r="A29" s="2"/>
      <c r="B29" s="18"/>
      <c r="C29" s="18"/>
      <c r="D29" s="18"/>
      <c r="E29" s="18"/>
      <c r="F29" s="18"/>
      <c r="G29" s="18"/>
      <c r="H29" s="18"/>
    </row>
    <row r="30" ht="15.75" customHeight="1">
      <c r="A30" s="2"/>
      <c r="B30" s="19" t="s">
        <v>52</v>
      </c>
    </row>
    <row r="31" ht="15.75" customHeight="1">
      <c r="A31" s="2"/>
    </row>
    <row r="32" ht="15.75" customHeight="1">
      <c r="A32" s="2"/>
    </row>
    <row r="33" ht="15.75" customHeight="1">
      <c r="A33" s="2"/>
      <c r="B33" s="2"/>
      <c r="C33" s="2"/>
      <c r="D33" s="2"/>
      <c r="E33" s="2"/>
      <c r="F33" s="2"/>
      <c r="G33" s="2"/>
      <c r="H33" s="2"/>
    </row>
    <row r="34" ht="15.75" customHeight="1">
      <c r="A34" s="2"/>
      <c r="B34" s="2" t="s">
        <v>53</v>
      </c>
      <c r="C34" s="2"/>
      <c r="D34" s="2"/>
      <c r="E34" s="2"/>
      <c r="F34" s="2"/>
      <c r="G34" s="2"/>
      <c r="H34" s="2"/>
    </row>
    <row r="35" ht="15.75" customHeight="1">
      <c r="A35" s="2"/>
      <c r="B35" s="2"/>
      <c r="C35" s="2"/>
      <c r="D35" s="2"/>
      <c r="E35" s="2"/>
      <c r="F35" s="2"/>
      <c r="G35" s="2"/>
      <c r="H35" s="2"/>
    </row>
    <row r="36" ht="15.75" customHeight="1">
      <c r="A36" s="2"/>
      <c r="B36" s="20"/>
      <c r="C36" s="20"/>
      <c r="D36" s="20" t="s">
        <v>54</v>
      </c>
      <c r="E36" s="2"/>
      <c r="F36" s="2"/>
      <c r="G36" s="2"/>
      <c r="H36" s="2"/>
    </row>
    <row r="37" ht="15.75" customHeight="1">
      <c r="A37" s="2"/>
      <c r="B37" s="2" t="s">
        <v>55</v>
      </c>
      <c r="C37" s="2"/>
      <c r="D37" s="2" t="s">
        <v>56</v>
      </c>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0:D11"/>
    <mergeCell ref="B12:D12"/>
    <mergeCell ref="B14:D14"/>
    <mergeCell ref="B15:D15"/>
    <mergeCell ref="G2:H3"/>
    <mergeCell ref="G4:H4"/>
    <mergeCell ref="G5:H5"/>
    <mergeCell ref="G6:H6"/>
    <mergeCell ref="G7:H7"/>
    <mergeCell ref="B9:D9"/>
    <mergeCell ref="G11:H11"/>
    <mergeCell ref="G18:H18"/>
    <mergeCell ref="G21:H21"/>
    <mergeCell ref="F22:H22"/>
    <mergeCell ref="G23:H23"/>
    <mergeCell ref="G24:H24"/>
    <mergeCell ref="G26:H26"/>
    <mergeCell ref="F27:H28"/>
    <mergeCell ref="B30:H32"/>
    <mergeCell ref="F9:H9"/>
    <mergeCell ref="G10:H10"/>
    <mergeCell ref="G12:H12"/>
    <mergeCell ref="G13:H13"/>
    <mergeCell ref="G14:H14"/>
    <mergeCell ref="F15:H15"/>
    <mergeCell ref="G17:H17"/>
  </mergeCells>
  <dataValidations>
    <dataValidation type="list" allowBlank="1" showErrorMessage="1" sqref="D19">
      <formula1>"Single Family,2-4 Units,5+ Units,Mobile Home,Land/Lot,Other"</formula1>
    </dataValidation>
    <dataValidation type="list" allowBlank="1" showErrorMessage="1" sqref="D18">
      <formula1>"Purchase Only,Buy and Reno costs,Refinance"</formula1>
    </dataValidation>
    <dataValidation type="list" allowBlank="1" showErrorMessage="1" sqref="G13">
      <formula1>"Dutch,Non Dutch"</formula1>
    </dataValidation>
    <dataValidation type="list" allowBlank="1" showErrorMessage="1" sqref="D16">
      <formula1>"Fix and Flip,Bridge,New Construction"</formula1>
    </dataValidation>
    <dataValidation type="list" allowBlank="1" showErrorMessage="1" sqref="D20">
      <formula1>"0,1-5,5-10,10+"</formula1>
    </dataValidation>
    <dataValidation type="list" allowBlank="1" showErrorMessage="1" sqref="D17">
      <formula1>"1 Month,3 Months,6 Months,9 Months,12 Months,18 Months"</formula1>
    </dataValidation>
  </dataValidations>
  <drawing r:id="rId1"/>
</worksheet>
</file>